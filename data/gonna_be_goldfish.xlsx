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131"/>
  <workbookPr/>
  <mc:AlternateContent xmlns:mc="http://schemas.openxmlformats.org/markup-compatibility/2006">
    <mc:Choice Requires="x15">
      <x15ac:absPath xmlns:x15ac="http://schemas.microsoft.com/office/spreadsheetml/2010/11/ac" url="C:\Users\Tom\Documents\website\rhytididae\data\"/>
    </mc:Choice>
  </mc:AlternateContent>
  <xr:revisionPtr revIDLastSave="0" documentId="13_ncr:1_{FB0C139C-C600-41A8-BA85-E3EDD34A0345}" xr6:coauthVersionLast="47" xr6:coauthVersionMax="47" xr10:uidLastSave="{00000000-0000-0000-0000-000000000000}"/>
  <bookViews>
    <workbookView xWindow="-90" yWindow="0" windowWidth="19380" windowHeight="20970" activeTab="3" xr2:uid="{00000000-000D-0000-FFFF-FFFF00000000}"/>
  </bookViews>
  <sheets>
    <sheet name="Info" sheetId="1" r:id="rId1"/>
    <sheet name="Summary " sheetId="2" r:id="rId2"/>
    <sheet name="Responses" sheetId="3" r:id="rId3"/>
    <sheet name="Sheet1" sheetId="4" r:id="rId4"/>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47" i="4" l="1"/>
  <c r="C5" i="4"/>
  <c r="C9" i="4"/>
  <c r="C18" i="4"/>
  <c r="C7" i="4"/>
  <c r="C12" i="4"/>
  <c r="C17" i="4"/>
  <c r="C19" i="4"/>
  <c r="C21" i="4"/>
  <c r="C22" i="4"/>
  <c r="C23" i="4"/>
  <c r="C25" i="4"/>
  <c r="C26" i="4"/>
  <c r="C27" i="4"/>
  <c r="C28" i="4"/>
  <c r="C31" i="4"/>
  <c r="C34" i="4"/>
  <c r="C35" i="4"/>
  <c r="C37" i="4"/>
  <c r="C38" i="4"/>
  <c r="C39" i="4"/>
  <c r="C42" i="4"/>
  <c r="C43" i="4"/>
  <c r="C44" i="4"/>
  <c r="C46" i="4"/>
  <c r="C48" i="4"/>
  <c r="C49" i="4"/>
  <c r="C51" i="4"/>
  <c r="C54" i="4"/>
  <c r="C55" i="4"/>
  <c r="C30" i="4"/>
  <c r="F36" i="4"/>
  <c r="F29" i="4"/>
  <c r="F10" i="4"/>
  <c r="F52" i="4"/>
  <c r="F41" i="4"/>
  <c r="F50" i="4"/>
  <c r="F16" i="4"/>
  <c r="F15" i="4"/>
  <c r="F8" i="4"/>
  <c r="F4" i="4"/>
  <c r="F14" i="4"/>
  <c r="F33" i="4"/>
  <c r="F2" i="4"/>
  <c r="F32" i="4"/>
  <c r="F20" i="4"/>
  <c r="F11" i="4"/>
  <c r="F45" i="4"/>
  <c r="F6" i="4"/>
  <c r="F53" i="4"/>
  <c r="F13" i="4"/>
  <c r="F24" i="4"/>
  <c r="F40" i="4"/>
  <c r="F3" i="4"/>
  <c r="G2" i="4" l="1"/>
</calcChain>
</file>

<file path=xl/sharedStrings.xml><?xml version="1.0" encoding="utf-8"?>
<sst xmlns="http://schemas.openxmlformats.org/spreadsheetml/2006/main" count="431" uniqueCount="217">
  <si>
    <t>Survey Name</t>
  </si>
  <si>
    <t>Gonna be Gonna be Goldfish</t>
  </si>
  <si>
    <t>Survey status</t>
  </si>
  <si>
    <t>Closed</t>
  </si>
  <si>
    <t>Date was open (UTC)</t>
  </si>
  <si>
    <t>Jul-24-2026 13:01 UTC</t>
  </si>
  <si>
    <t>Answers</t>
  </si>
  <si>
    <t>Completes</t>
  </si>
  <si>
    <t>Completion rate</t>
  </si>
  <si>
    <t>100.00</t>
  </si>
  <si>
    <t>Block #1</t>
  </si>
  <si>
    <t>What is your deployed minion power in the nursery room fridge?</t>
  </si>
  <si>
    <t>Block #2</t>
  </si>
  <si>
    <t>What is your highest tier minion?</t>
  </si>
  <si>
    <t xml:space="preserve">Answer </t>
  </si>
  <si>
    <t>%</t>
  </si>
  <si>
    <t>Count</t>
  </si>
  <si>
    <t>7️⃣ 7️⃣ 7</t>
  </si>
  <si>
    <t>4.50%</t>
  </si>
  <si>
    <t>1</t>
  </si>
  <si>
    <t>8️⃣ 8️⃣ 8</t>
  </si>
  <si>
    <t>90.90%</t>
  </si>
  <si>
    <t>20</t>
  </si>
  <si>
    <t>9️⃣ 9️⃣ 9</t>
  </si>
  <si>
    <t>Total</t>
  </si>
  <si>
    <t>22</t>
  </si>
  <si>
    <t>Block #3</t>
  </si>
  <si>
    <t>What is your snails total power?</t>
  </si>
  <si>
    <t>146587560</t>
  </si>
  <si>
    <t>4.55%</t>
  </si>
  <si>
    <t>171420559</t>
  </si>
  <si>
    <t>206011692</t>
  </si>
  <si>
    <t>233446618</t>
  </si>
  <si>
    <t>270243982</t>
  </si>
  <si>
    <t>270506645</t>
  </si>
  <si>
    <t>272228249</t>
  </si>
  <si>
    <t>272894104</t>
  </si>
  <si>
    <t>289358001</t>
  </si>
  <si>
    <t>293736786</t>
  </si>
  <si>
    <t>296563098</t>
  </si>
  <si>
    <t>312674204</t>
  </si>
  <si>
    <t>314468699</t>
  </si>
  <si>
    <t>323377235</t>
  </si>
  <si>
    <t>327478717</t>
  </si>
  <si>
    <t>329000000</t>
  </si>
  <si>
    <t>330000000</t>
  </si>
  <si>
    <t>334229554</t>
  </si>
  <si>
    <t>375493411</t>
  </si>
  <si>
    <t>406117149</t>
  </si>
  <si>
    <t>465978613</t>
  </si>
  <si>
    <t>505273276</t>
  </si>
  <si>
    <t>Block #4</t>
  </si>
  <si>
    <t>How much essence do you have?</t>
  </si>
  <si>
    <t>0</t>
  </si>
  <si>
    <t>50.00%</t>
  </si>
  <si>
    <t>11</t>
  </si>
  <si>
    <t>2</t>
  </si>
  <si>
    <t>3</t>
  </si>
  <si>
    <t>8</t>
  </si>
  <si>
    <t>61</t>
  </si>
  <si>
    <t>81</t>
  </si>
  <si>
    <t>82</t>
  </si>
  <si>
    <t>117</t>
  </si>
  <si>
    <t>119</t>
  </si>
  <si>
    <t>121</t>
  </si>
  <si>
    <t>194</t>
  </si>
  <si>
    <t>Block #5</t>
  </si>
  <si>
    <t>Lots of big summer releases happening at the moment! Do you have a good Album/Movie/TV show you would recommend to people?</t>
  </si>
  <si>
    <t>Block #6</t>
  </si>
  <si>
    <t>Give-Role</t>
  </si>
  <si>
    <t>give-role</t>
  </si>
  <si>
    <t>0.00%</t>
  </si>
  <si>
    <t>Timestamp</t>
  </si>
  <si>
    <t>Id</t>
  </si>
  <si>
    <t xml:space="preserve">Name </t>
  </si>
  <si>
    <t>Session number</t>
  </si>
  <si>
    <t>Nick</t>
  </si>
  <si>
    <t>448172239318155304-1</t>
  </si>
  <si>
    <t>ragnar_okr</t>
  </si>
  <si>
    <t>Ragnar</t>
  </si>
  <si>
    <t>9.12m</t>
  </si>
  <si>
    <t>8️⃣ 8</t>
  </si>
  <si>
    <t>Saw the Odyssey last night…great movie!</t>
  </si>
  <si>
    <t>233471870572167168-1</t>
  </si>
  <si>
    <t>blace</t>
  </si>
  <si>
    <t>4.21M</t>
  </si>
  <si>
    <t>I've kinda been ignoring what's coming out and spending more time outside</t>
  </si>
  <si>
    <t>184031639318298624-1</t>
  </si>
  <si>
    <t>naib</t>
  </si>
  <si>
    <t>3.86M</t>
  </si>
  <si>
    <t>9 o'clock news.  Batshit insane what's going on</t>
  </si>
  <si>
    <t>1073789815537008670-1</t>
  </si>
  <si>
    <t>myk27x</t>
  </si>
  <si>
    <t>NelraMailed</t>
  </si>
  <si>
    <t>4.40M</t>
  </si>
  <si>
    <t>.</t>
  </si>
  <si>
    <t>364556667880341516-1</t>
  </si>
  <si>
    <t>butterwhale</t>
  </si>
  <si>
    <t>Noi {BW}</t>
  </si>
  <si>
    <t>8.09m</t>
  </si>
  <si>
    <t>9️⃣ 9</t>
  </si>
  <si>
    <t>Skip</t>
  </si>
  <si>
    <t>145725329418354688-1</t>
  </si>
  <si>
    <t>excayn</t>
  </si>
  <si>
    <t>Snailcayn</t>
  </si>
  <si>
    <t>5.72M</t>
  </si>
  <si>
    <t>not a genre listed but looking forward to play the kingdom hearts ports on switch 2 in october! especially kh3 since i never played it</t>
  </si>
  <si>
    <t>319660276599357440-1</t>
  </si>
  <si>
    <t>bigmars323</t>
  </si>
  <si>
    <t>4210000</t>
  </si>
  <si>
    <t>I don't</t>
  </si>
  <si>
    <t>1360993281151991950-1</t>
  </si>
  <si>
    <t>brandend23</t>
  </si>
  <si>
    <t>Ezekiel</t>
  </si>
  <si>
    <t>9.96M</t>
  </si>
  <si>
    <t>Not really</t>
  </si>
  <si>
    <t>137397699640164352-1</t>
  </si>
  <si>
    <t>echowoes</t>
  </si>
  <si>
    <t>Echoes</t>
  </si>
  <si>
    <t>4.75m</t>
  </si>
  <si>
    <t>None that I'm aware of at the moment :)</t>
  </si>
  <si>
    <t>894902348638474300-1</t>
  </si>
  <si>
    <t>__drakot__</t>
  </si>
  <si>
    <t>DraKot</t>
  </si>
  <si>
    <t>5.84</t>
  </si>
  <si>
    <t>rick and morty, good omens, one piece, avatar serial</t>
  </si>
  <si>
    <t>134325995300716544-1</t>
  </si>
  <si>
    <t>swemoney</t>
  </si>
  <si>
    <t>2.03m</t>
  </si>
  <si>
    <t>7️⃣ 7</t>
  </si>
  <si>
    <t>Dungeon Crawler Carl on Audiobook</t>
  </si>
  <si>
    <t>272165993646915596-1</t>
  </si>
  <si>
    <t>sinksmith</t>
  </si>
  <si>
    <t>Sinksmith</t>
  </si>
  <si>
    <t>2.02M</t>
  </si>
  <si>
    <t>345998271870664704-1</t>
  </si>
  <si>
    <t>zero_blackwolf</t>
  </si>
  <si>
    <t>Zero</t>
  </si>
  <si>
    <t>5.52</t>
  </si>
  <si>
    <t>The Dark Tower book series by Stephen King</t>
  </si>
  <si>
    <t>192493217529200640-1</t>
  </si>
  <si>
    <t>noelenough</t>
  </si>
  <si>
    <t>NoelEnough</t>
  </si>
  <si>
    <t>3.50m</t>
  </si>
  <si>
    <t>I haven't actually seen anything from this summer. I really liked the Backrooms though</t>
  </si>
  <si>
    <t>431830287778054156-1</t>
  </si>
  <si>
    <t>aki1182</t>
  </si>
  <si>
    <t>Sasha</t>
  </si>
  <si>
    <t>3.65mil</t>
  </si>
  <si>
    <t>1215711763849551882-1</t>
  </si>
  <si>
    <t>annabanana0838</t>
  </si>
  <si>
    <t>Shnail 🐉</t>
  </si>
  <si>
    <t>2.6mil</t>
  </si>
  <si>
    <t>It's a couple of months old, but This Music May Contain Hope by Raye is my current fave</t>
  </si>
  <si>
    <t>514958137464455188-1</t>
  </si>
  <si>
    <t>attiem</t>
  </si>
  <si>
    <t>5.32m</t>
  </si>
  <si>
    <t>The movie Project Hail Mary is pretty good.</t>
  </si>
  <si>
    <t>290414755141648384-1</t>
  </si>
  <si>
    <t>siririri</t>
  </si>
  <si>
    <t>Siri 🐉</t>
  </si>
  <si>
    <t>5.68M</t>
  </si>
  <si>
    <t>The Odyssey</t>
  </si>
  <si>
    <t>1256661180949336160-1</t>
  </si>
  <si>
    <t>luigi0706.</t>
  </si>
  <si>
    <t>4.56</t>
  </si>
  <si>
    <t>Project Hail Mary!!!! Words of great encouragement</t>
  </si>
  <si>
    <t>436283661755875341-1</t>
  </si>
  <si>
    <t>stinky_britches</t>
  </si>
  <si>
    <t>4.92million</t>
  </si>
  <si>
    <t>Cannot recommend "Back Door Sluts 9" enough. Truly life changing</t>
  </si>
  <si>
    <t>1137535300210524170-1</t>
  </si>
  <si>
    <t>azrael_ss</t>
  </si>
  <si>
    <t>3.74M</t>
  </si>
  <si>
    <t>I can't remember the last time I consumed a release at the time of its debut to be honest, life's been too hectic to keep up as of late. Regardless of that, in terms of recent releases I'd always say to keep an eye out on Lawton, he's doing a lot of great translation work, particularly of Sorokin these last few years.</t>
  </si>
  <si>
    <t>137255966868635648-1</t>
  </si>
  <si>
    <t>_merri</t>
  </si>
  <si>
    <t>Merri DeVito 🐉</t>
  </si>
  <si>
    <t>6.62m</t>
  </si>
  <si>
    <t>I finished watching "The Studio" recently and damn, that's a good show from last year! Artistically very well shot and good, fun story lines.
Ted Lasso season 4 comes out soon as well, and while I'm not sure a S4 was needed, the first 3 were really fun, so I'm looking forward to more!</t>
  </si>
  <si>
    <t>mats</t>
  </si>
  <si>
    <t>5.10m</t>
  </si>
  <si>
    <t>In game minion power</t>
  </si>
  <si>
    <t>Pengu</t>
  </si>
  <si>
    <t>DeezNutz</t>
  </si>
  <si>
    <t>Ratio</t>
  </si>
  <si>
    <t>whelp</t>
  </si>
  <si>
    <t>PermeatingMass</t>
  </si>
  <si>
    <t>Kilosaw</t>
  </si>
  <si>
    <t>Rockbadger32</t>
  </si>
  <si>
    <t>Traveler10468</t>
  </si>
  <si>
    <t>Keanu</t>
  </si>
  <si>
    <t>FlameFun</t>
  </si>
  <si>
    <t>SirCraig</t>
  </si>
  <si>
    <t>Hody</t>
  </si>
  <si>
    <t>Delirium</t>
  </si>
  <si>
    <t>Paperfish</t>
  </si>
  <si>
    <t>Kubisk</t>
  </si>
  <si>
    <t>Kierly</t>
  </si>
  <si>
    <t>Error</t>
  </si>
  <si>
    <t>Envoy</t>
  </si>
  <si>
    <t>Wanderson</t>
  </si>
  <si>
    <t>mrSnailio</t>
  </si>
  <si>
    <t>Kaiju</t>
  </si>
  <si>
    <t>colby</t>
  </si>
  <si>
    <t>lampside</t>
  </si>
  <si>
    <t>wilsperho</t>
  </si>
  <si>
    <t>gingerred</t>
  </si>
  <si>
    <t>obijimbob</t>
  </si>
  <si>
    <t>smoke</t>
  </si>
  <si>
    <t>Traveler1</t>
  </si>
  <si>
    <t>callmemaui</t>
  </si>
  <si>
    <t>snaillord2023</t>
  </si>
  <si>
    <t>demonsnailjoey</t>
  </si>
  <si>
    <t>howlinghati</t>
  </si>
  <si>
    <t>AVE</t>
  </si>
  <si>
    <t>*</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</si>
</sst>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h:mm:ss"/>
  </numFmts>
  <fonts count="2" x14ac:knownFonts="1">
    <font>
      <sz val="11"/>
      <color theme="1"/>
      <name val="Calibri"/>
      <family val="2"/>
      <scheme val="minor"/>
    </font>
    <font>
      <sz val="8"/>
      <name val="Calibri"/>
      <family val="2"/>
      <scheme val="minor"/>
    </font>
  </fonts>
  <fills count="5">
    <fill>
      <patternFill patternType="none"/>
    </fill>
    <fill>
      <patternFill patternType="gray125"/>
    </fill>
    <fill>
      <patternFill patternType="solid">
        <fgColor rgb="FF00B050"/>
        <bgColor indexed="64"/>
      </patternFill>
    </fill>
    <fill>
      <patternFill patternType="solid">
        <fgColor rgb="FFFFFF00"/>
        <bgColor indexed="64"/>
      </patternFill>
    </fill>
    <fill>
      <patternFill patternType="solid">
        <fgColor rgb="FF00B0F0"/>
        <bgColor indexed="64"/>
      </patternFill>
    </fill>
  </fills>
  <borders count="1">
    <border>
      <left/>
      <right/>
      <top/>
      <bottom/>
      <diagonal/>
    </border>
  </borders>
  <cellStyleXfs count="1">
    <xf numFmtId="0" fontId="0" fillId="0" borderId="0"/>
  </cellStyleXfs>
  <cellXfs count="7">
    <xf numFmtId="0" fontId="0" fillId="0" borderId="0" xfId="0"/>
    <xf numFmtId="164" fontId="0" fillId="0" borderId="0" xfId="0" applyNumberFormat="1"/>
    <xf numFmtId="0" fontId="0" fillId="0" borderId="0" xfId="0" applyAlignment="1">
      <alignment horizontal="right"/>
    </xf>
    <xf numFmtId="2" fontId="0" fillId="0" borderId="0" xfId="0" applyNumberFormat="1"/>
    <xf numFmtId="0" fontId="0" fillId="2" borderId="0" xfId="0" applyFill="1"/>
    <xf numFmtId="0" fontId="0" fillId="3" borderId="0" xfId="0" applyFill="1"/>
    <xf numFmtId="0" fontId="0" fillId="4" borderId="0" xfId="0" applyFill="1"/>
  </cellXfs>
  <cellStyles count="1">
    <cellStyle name="Normal" xfId="0" builtinId="0"/>
  </cellStyles>
  <dxfs count="1">
    <dxf>
      <numFmt numFmtId="2" formatCode="0.00"/>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4.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09D0B3C-0044-486E-876C-A67FF78BD974}" name="Table3" displayName="Table3" ref="B1:F55" totalsRowShown="0">
  <autoFilter ref="B1:F55" xr:uid="{E09D0B3C-0044-486E-876C-A67FF78BD974}"/>
  <sortState xmlns:xlrd2="http://schemas.microsoft.com/office/spreadsheetml/2017/richdata2" ref="B2:F55">
    <sortCondition descending="1" ref="C1:C55"/>
  </sortState>
  <tableColumns count="5">
    <tableColumn id="1" xr3:uid="{9E92AEF5-521A-402A-AEF9-8891BECD34DD}" name="Nick"/>
    <tableColumn id="2" xr3:uid="{4D6ED905-5AEC-477E-9AFD-5CBFB5EDD7D2}" name="What is your deployed minion power in the nursery room fridge?" dataDxfId="0">
      <calculatedColumnFormula>(E2*$G$2)/1000000</calculatedColumnFormula>
    </tableColumn>
    <tableColumn id="3" xr3:uid="{47739183-599B-40AE-BEC3-C1196DD99537}" name="What is your snails total power?"/>
    <tableColumn id="4" xr3:uid="{F5F92D63-9540-46E6-965A-7D034FCD03BF}" name="In game minion power"/>
    <tableColumn id="5" xr3:uid="{2176E26E-28C1-4D54-AA7F-F292F8B8F63E}" name="Ratio"/>
  </tableColumns>
  <tableStyleInfo name="TableStyleLight1"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9"/>
  <sheetViews>
    <sheetView workbookViewId="0"/>
  </sheetViews>
  <sheetFormatPr defaultRowHeight="15" x14ac:dyDescent="0.25"/>
  <sheetData>
    <row r="1" spans="1:2" x14ac:dyDescent="0.25">
      <c r="A1" t="s">
        <v>0</v>
      </c>
      <c r="B1" t="s">
        <v>1</v>
      </c>
    </row>
    <row r="3" spans="1:2" x14ac:dyDescent="0.25">
      <c r="A3" t="s">
        <v>2</v>
      </c>
      <c r="B3" t="s">
        <v>3</v>
      </c>
    </row>
    <row r="5" spans="1:2" x14ac:dyDescent="0.25">
      <c r="A5" t="s">
        <v>4</v>
      </c>
      <c r="B5" t="s">
        <v>5</v>
      </c>
    </row>
    <row r="7" spans="1:2" x14ac:dyDescent="0.25">
      <c r="A7" t="s">
        <v>6</v>
      </c>
      <c r="B7">
        <v>22</v>
      </c>
    </row>
    <row r="8" spans="1:2" x14ac:dyDescent="0.25">
      <c r="A8" t="s">
        <v>7</v>
      </c>
      <c r="B8">
        <v>22</v>
      </c>
    </row>
    <row r="9" spans="1:2" x14ac:dyDescent="0.25">
      <c r="A9" t="s">
        <v>8</v>
      </c>
      <c r="B9" t="s">
        <v>9</v>
      </c>
    </row>
  </sheetData>
  <pageMargins left="0.75" right="0.75" top="1" bottom="1" header="0.5" footer="0.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74"/>
  <sheetViews>
    <sheetView workbookViewId="0"/>
  </sheetViews>
  <sheetFormatPr defaultRowHeight="15" x14ac:dyDescent="0.25"/>
  <sheetData>
    <row r="1" spans="1:3" x14ac:dyDescent="0.25">
      <c r="A1" t="s">
        <v>10</v>
      </c>
    </row>
    <row r="2" spans="1:3" x14ac:dyDescent="0.25">
      <c r="A2" t="s">
        <v>11</v>
      </c>
    </row>
    <row r="6" spans="1:3" x14ac:dyDescent="0.25">
      <c r="A6" t="s">
        <v>12</v>
      </c>
    </row>
    <row r="7" spans="1:3" x14ac:dyDescent="0.25">
      <c r="A7" t="s">
        <v>13</v>
      </c>
    </row>
    <row r="9" spans="1:3" x14ac:dyDescent="0.25">
      <c r="A9" t="s">
        <v>14</v>
      </c>
      <c r="B9" t="s">
        <v>15</v>
      </c>
      <c r="C9" t="s">
        <v>16</v>
      </c>
    </row>
    <row r="10" spans="1:3" x14ac:dyDescent="0.25">
      <c r="A10" t="s">
        <v>17</v>
      </c>
      <c r="B10" t="s">
        <v>18</v>
      </c>
      <c r="C10" t="s">
        <v>19</v>
      </c>
    </row>
    <row r="11" spans="1:3" x14ac:dyDescent="0.25">
      <c r="A11" t="s">
        <v>20</v>
      </c>
      <c r="B11" t="s">
        <v>21</v>
      </c>
      <c r="C11" t="s">
        <v>22</v>
      </c>
    </row>
    <row r="12" spans="1:3" x14ac:dyDescent="0.25">
      <c r="A12" t="s">
        <v>23</v>
      </c>
      <c r="B12" t="s">
        <v>18</v>
      </c>
      <c r="C12" t="s">
        <v>19</v>
      </c>
    </row>
    <row r="13" spans="1:3" x14ac:dyDescent="0.25">
      <c r="A13" t="s">
        <v>24</v>
      </c>
      <c r="C13" t="s">
        <v>25</v>
      </c>
    </row>
    <row r="16" spans="1:3" x14ac:dyDescent="0.25">
      <c r="A16" t="s">
        <v>26</v>
      </c>
    </row>
    <row r="17" spans="1:3" x14ac:dyDescent="0.25">
      <c r="A17" t="s">
        <v>27</v>
      </c>
    </row>
    <row r="19" spans="1:3" x14ac:dyDescent="0.25">
      <c r="A19" t="s">
        <v>14</v>
      </c>
      <c r="B19" t="s">
        <v>15</v>
      </c>
      <c r="C19" t="s">
        <v>16</v>
      </c>
    </row>
    <row r="20" spans="1:3" x14ac:dyDescent="0.25">
      <c r="A20" t="s">
        <v>28</v>
      </c>
      <c r="B20" t="s">
        <v>29</v>
      </c>
      <c r="C20" t="s">
        <v>19</v>
      </c>
    </row>
    <row r="21" spans="1:3" x14ac:dyDescent="0.25">
      <c r="A21" t="s">
        <v>30</v>
      </c>
      <c r="B21" t="s">
        <v>29</v>
      </c>
      <c r="C21" t="s">
        <v>19</v>
      </c>
    </row>
    <row r="22" spans="1:3" x14ac:dyDescent="0.25">
      <c r="A22" t="s">
        <v>31</v>
      </c>
      <c r="B22" t="s">
        <v>29</v>
      </c>
      <c r="C22" t="s">
        <v>19</v>
      </c>
    </row>
    <row r="23" spans="1:3" x14ac:dyDescent="0.25">
      <c r="A23" t="s">
        <v>32</v>
      </c>
      <c r="B23" t="s">
        <v>29</v>
      </c>
      <c r="C23" t="s">
        <v>19</v>
      </c>
    </row>
    <row r="24" spans="1:3" x14ac:dyDescent="0.25">
      <c r="A24" t="s">
        <v>33</v>
      </c>
      <c r="B24" t="s">
        <v>29</v>
      </c>
      <c r="C24" t="s">
        <v>19</v>
      </c>
    </row>
    <row r="25" spans="1:3" x14ac:dyDescent="0.25">
      <c r="A25" t="s">
        <v>34</v>
      </c>
      <c r="B25" t="s">
        <v>29</v>
      </c>
      <c r="C25" t="s">
        <v>19</v>
      </c>
    </row>
    <row r="26" spans="1:3" x14ac:dyDescent="0.25">
      <c r="A26" t="s">
        <v>35</v>
      </c>
      <c r="B26" t="s">
        <v>29</v>
      </c>
      <c r="C26" t="s">
        <v>19</v>
      </c>
    </row>
    <row r="27" spans="1:3" x14ac:dyDescent="0.25">
      <c r="A27" t="s">
        <v>36</v>
      </c>
      <c r="B27" t="s">
        <v>29</v>
      </c>
      <c r="C27" t="s">
        <v>19</v>
      </c>
    </row>
    <row r="28" spans="1:3" x14ac:dyDescent="0.25">
      <c r="A28" t="s">
        <v>37</v>
      </c>
      <c r="B28" t="s">
        <v>29</v>
      </c>
      <c r="C28" t="s">
        <v>19</v>
      </c>
    </row>
    <row r="29" spans="1:3" x14ac:dyDescent="0.25">
      <c r="A29" t="s">
        <v>38</v>
      </c>
      <c r="B29" t="s">
        <v>29</v>
      </c>
      <c r="C29" t="s">
        <v>19</v>
      </c>
    </row>
    <row r="30" spans="1:3" x14ac:dyDescent="0.25">
      <c r="A30" t="s">
        <v>39</v>
      </c>
      <c r="B30" t="s">
        <v>29</v>
      </c>
      <c r="C30" t="s">
        <v>19</v>
      </c>
    </row>
    <row r="31" spans="1:3" x14ac:dyDescent="0.25">
      <c r="A31" t="s">
        <v>40</v>
      </c>
      <c r="B31" t="s">
        <v>29</v>
      </c>
      <c r="C31" t="s">
        <v>19</v>
      </c>
    </row>
    <row r="32" spans="1:3" x14ac:dyDescent="0.25">
      <c r="A32" t="s">
        <v>41</v>
      </c>
      <c r="B32" t="s">
        <v>29</v>
      </c>
      <c r="C32" t="s">
        <v>19</v>
      </c>
    </row>
    <row r="33" spans="1:3" x14ac:dyDescent="0.25">
      <c r="A33" t="s">
        <v>42</v>
      </c>
      <c r="B33" t="s">
        <v>29</v>
      </c>
      <c r="C33" t="s">
        <v>19</v>
      </c>
    </row>
    <row r="34" spans="1:3" x14ac:dyDescent="0.25">
      <c r="A34" t="s">
        <v>43</v>
      </c>
      <c r="B34" t="s">
        <v>29</v>
      </c>
      <c r="C34" t="s">
        <v>19</v>
      </c>
    </row>
    <row r="35" spans="1:3" x14ac:dyDescent="0.25">
      <c r="A35" t="s">
        <v>44</v>
      </c>
      <c r="B35" t="s">
        <v>29</v>
      </c>
      <c r="C35" t="s">
        <v>19</v>
      </c>
    </row>
    <row r="36" spans="1:3" x14ac:dyDescent="0.25">
      <c r="A36" t="s">
        <v>45</v>
      </c>
      <c r="B36" t="s">
        <v>29</v>
      </c>
      <c r="C36" t="s">
        <v>19</v>
      </c>
    </row>
    <row r="37" spans="1:3" x14ac:dyDescent="0.25">
      <c r="A37" t="s">
        <v>46</v>
      </c>
      <c r="B37" t="s">
        <v>29</v>
      </c>
      <c r="C37" t="s">
        <v>19</v>
      </c>
    </row>
    <row r="38" spans="1:3" x14ac:dyDescent="0.25">
      <c r="A38" t="s">
        <v>47</v>
      </c>
      <c r="B38" t="s">
        <v>29</v>
      </c>
      <c r="C38" t="s">
        <v>19</v>
      </c>
    </row>
    <row r="39" spans="1:3" x14ac:dyDescent="0.25">
      <c r="A39" t="s">
        <v>48</v>
      </c>
      <c r="B39" t="s">
        <v>29</v>
      </c>
      <c r="C39" t="s">
        <v>19</v>
      </c>
    </row>
    <row r="40" spans="1:3" x14ac:dyDescent="0.25">
      <c r="A40" t="s">
        <v>49</v>
      </c>
      <c r="B40" t="s">
        <v>29</v>
      </c>
      <c r="C40" t="s">
        <v>19</v>
      </c>
    </row>
    <row r="41" spans="1:3" x14ac:dyDescent="0.25">
      <c r="A41" t="s">
        <v>50</v>
      </c>
      <c r="B41" t="s">
        <v>29</v>
      </c>
      <c r="C41" t="s">
        <v>19</v>
      </c>
    </row>
    <row r="42" spans="1:3" x14ac:dyDescent="0.25">
      <c r="A42" t="s">
        <v>24</v>
      </c>
      <c r="C42" t="s">
        <v>25</v>
      </c>
    </row>
    <row r="45" spans="1:3" x14ac:dyDescent="0.25">
      <c r="A45" t="s">
        <v>51</v>
      </c>
    </row>
    <row r="46" spans="1:3" x14ac:dyDescent="0.25">
      <c r="A46" t="s">
        <v>52</v>
      </c>
    </row>
    <row r="48" spans="1:3" x14ac:dyDescent="0.25">
      <c r="A48" t="s">
        <v>14</v>
      </c>
      <c r="B48" t="s">
        <v>15</v>
      </c>
      <c r="C48" t="s">
        <v>16</v>
      </c>
    </row>
    <row r="49" spans="1:3" x14ac:dyDescent="0.25">
      <c r="A49" t="s">
        <v>53</v>
      </c>
      <c r="B49" t="s">
        <v>54</v>
      </c>
      <c r="C49" t="s">
        <v>55</v>
      </c>
    </row>
    <row r="50" spans="1:3" x14ac:dyDescent="0.25">
      <c r="A50" t="s">
        <v>19</v>
      </c>
      <c r="B50" t="s">
        <v>29</v>
      </c>
      <c r="C50" t="s">
        <v>19</v>
      </c>
    </row>
    <row r="51" spans="1:3" x14ac:dyDescent="0.25">
      <c r="A51" t="s">
        <v>56</v>
      </c>
      <c r="B51" t="s">
        <v>29</v>
      </c>
      <c r="C51" t="s">
        <v>19</v>
      </c>
    </row>
    <row r="52" spans="1:3" x14ac:dyDescent="0.25">
      <c r="A52" t="s">
        <v>57</v>
      </c>
      <c r="B52" t="s">
        <v>29</v>
      </c>
      <c r="C52" t="s">
        <v>19</v>
      </c>
    </row>
    <row r="53" spans="1:3" x14ac:dyDescent="0.25">
      <c r="A53" t="s">
        <v>58</v>
      </c>
      <c r="B53" t="s">
        <v>29</v>
      </c>
      <c r="C53" t="s">
        <v>19</v>
      </c>
    </row>
    <row r="54" spans="1:3" x14ac:dyDescent="0.25">
      <c r="A54" t="s">
        <v>59</v>
      </c>
      <c r="B54" t="s">
        <v>29</v>
      </c>
      <c r="C54" t="s">
        <v>19</v>
      </c>
    </row>
    <row r="55" spans="1:3" x14ac:dyDescent="0.25">
      <c r="A55" t="s">
        <v>60</v>
      </c>
      <c r="B55" t="s">
        <v>29</v>
      </c>
      <c r="C55" t="s">
        <v>19</v>
      </c>
    </row>
    <row r="56" spans="1:3" x14ac:dyDescent="0.25">
      <c r="A56" t="s">
        <v>61</v>
      </c>
      <c r="B56" t="s">
        <v>29</v>
      </c>
      <c r="C56" t="s">
        <v>19</v>
      </c>
    </row>
    <row r="57" spans="1:3" x14ac:dyDescent="0.25">
      <c r="A57" t="s">
        <v>62</v>
      </c>
      <c r="B57" t="s">
        <v>29</v>
      </c>
      <c r="C57" t="s">
        <v>19</v>
      </c>
    </row>
    <row r="58" spans="1:3" x14ac:dyDescent="0.25">
      <c r="A58" t="s">
        <v>63</v>
      </c>
      <c r="B58" t="s">
        <v>29</v>
      </c>
      <c r="C58" t="s">
        <v>19</v>
      </c>
    </row>
    <row r="59" spans="1:3" x14ac:dyDescent="0.25">
      <c r="A59" t="s">
        <v>64</v>
      </c>
      <c r="B59" t="s">
        <v>29</v>
      </c>
      <c r="C59" t="s">
        <v>19</v>
      </c>
    </row>
    <row r="60" spans="1:3" x14ac:dyDescent="0.25">
      <c r="A60" t="s">
        <v>65</v>
      </c>
      <c r="B60" t="s">
        <v>29</v>
      </c>
      <c r="C60" t="s">
        <v>19</v>
      </c>
    </row>
    <row r="61" spans="1:3" x14ac:dyDescent="0.25">
      <c r="A61" t="s">
        <v>24</v>
      </c>
      <c r="C61" t="s">
        <v>25</v>
      </c>
    </row>
    <row r="64" spans="1:3" x14ac:dyDescent="0.25">
      <c r="A64" t="s">
        <v>66</v>
      </c>
    </row>
    <row r="65" spans="1:3" x14ac:dyDescent="0.25">
      <c r="A65" t="s">
        <v>67</v>
      </c>
    </row>
    <row r="69" spans="1:3" x14ac:dyDescent="0.25">
      <c r="A69" t="s">
        <v>68</v>
      </c>
    </row>
    <row r="70" spans="1:3" x14ac:dyDescent="0.25">
      <c r="A70" t="s">
        <v>69</v>
      </c>
    </row>
    <row r="72" spans="1:3" x14ac:dyDescent="0.25">
      <c r="A72" t="s">
        <v>14</v>
      </c>
      <c r="B72" t="s">
        <v>15</v>
      </c>
      <c r="C72" t="s">
        <v>16</v>
      </c>
    </row>
    <row r="73" spans="1:3" x14ac:dyDescent="0.25">
      <c r="A73" t="s">
        <v>70</v>
      </c>
      <c r="B73" t="s">
        <v>71</v>
      </c>
      <c r="C73" t="s">
        <v>53</v>
      </c>
    </row>
    <row r="74" spans="1:3" x14ac:dyDescent="0.25">
      <c r="A74" t="s">
        <v>24</v>
      </c>
      <c r="C74" t="s">
        <v>53</v>
      </c>
    </row>
  </sheetData>
  <pageMargins left="0.75" right="0.75" top="1" bottom="1" header="0.5" footer="0.5"/>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K24"/>
  <sheetViews>
    <sheetView workbookViewId="0">
      <selection activeCell="E1" sqref="E1:E1048576"/>
    </sheetView>
  </sheetViews>
  <sheetFormatPr defaultRowHeight="15" x14ac:dyDescent="0.25"/>
  <cols>
    <col min="8" max="8" width="10.85546875" bestFit="1" customWidth="1"/>
  </cols>
  <sheetData>
    <row r="1" spans="1:11" x14ac:dyDescent="0.25">
      <c r="A1" t="s">
        <v>72</v>
      </c>
      <c r="B1" t="s">
        <v>73</v>
      </c>
      <c r="C1" t="s">
        <v>74</v>
      </c>
      <c r="D1" t="s">
        <v>75</v>
      </c>
      <c r="E1" t="s">
        <v>76</v>
      </c>
      <c r="F1" t="s">
        <v>11</v>
      </c>
      <c r="G1" t="s">
        <v>13</v>
      </c>
      <c r="H1" t="s">
        <v>27</v>
      </c>
      <c r="I1" t="s">
        <v>52</v>
      </c>
      <c r="J1" t="s">
        <v>67</v>
      </c>
    </row>
    <row r="2" spans="1:11" x14ac:dyDescent="0.25">
      <c r="A2" s="1">
        <v>46227.653532688913</v>
      </c>
      <c r="B2" t="s">
        <v>77</v>
      </c>
      <c r="C2" t="s">
        <v>78</v>
      </c>
      <c r="D2">
        <v>1</v>
      </c>
      <c r="E2" t="s">
        <v>79</v>
      </c>
      <c r="F2" t="s">
        <v>80</v>
      </c>
      <c r="G2" t="s">
        <v>81</v>
      </c>
      <c r="H2" t="s">
        <v>49</v>
      </c>
      <c r="I2" t="s">
        <v>53</v>
      </c>
      <c r="J2" t="s">
        <v>82</v>
      </c>
    </row>
    <row r="3" spans="1:11" x14ac:dyDescent="0.25">
      <c r="A3" s="1">
        <v>46227.735939076127</v>
      </c>
      <c r="B3" t="s">
        <v>83</v>
      </c>
      <c r="C3" t="s">
        <v>84</v>
      </c>
      <c r="D3">
        <v>1</v>
      </c>
      <c r="E3" t="s">
        <v>84</v>
      </c>
      <c r="F3" t="s">
        <v>85</v>
      </c>
      <c r="G3" t="s">
        <v>81</v>
      </c>
      <c r="H3" t="s">
        <v>42</v>
      </c>
      <c r="I3" t="s">
        <v>62</v>
      </c>
      <c r="J3" t="s">
        <v>86</v>
      </c>
    </row>
    <row r="4" spans="1:11" x14ac:dyDescent="0.25">
      <c r="A4" s="1">
        <v>46227.911459510156</v>
      </c>
      <c r="B4" t="s">
        <v>87</v>
      </c>
      <c r="C4" t="s">
        <v>88</v>
      </c>
      <c r="D4">
        <v>1</v>
      </c>
      <c r="E4" t="s">
        <v>88</v>
      </c>
      <c r="F4" t="s">
        <v>89</v>
      </c>
      <c r="G4" t="s">
        <v>81</v>
      </c>
      <c r="H4" t="s">
        <v>38</v>
      </c>
      <c r="I4" t="s">
        <v>19</v>
      </c>
      <c r="J4" t="s">
        <v>90</v>
      </c>
      <c r="K4">
        <v>1</v>
      </c>
    </row>
    <row r="5" spans="1:11" x14ac:dyDescent="0.25">
      <c r="A5" s="1">
        <v>46228.131826198492</v>
      </c>
      <c r="B5" t="s">
        <v>91</v>
      </c>
      <c r="C5" t="s">
        <v>92</v>
      </c>
      <c r="D5">
        <v>1</v>
      </c>
      <c r="E5" t="s">
        <v>93</v>
      </c>
      <c r="F5" t="s">
        <v>94</v>
      </c>
      <c r="G5" t="s">
        <v>81</v>
      </c>
      <c r="H5" t="s">
        <v>36</v>
      </c>
      <c r="I5" t="s">
        <v>65</v>
      </c>
      <c r="J5" t="s">
        <v>95</v>
      </c>
    </row>
    <row r="6" spans="1:11" x14ac:dyDescent="0.25">
      <c r="A6" s="1">
        <v>46228.162436468032</v>
      </c>
      <c r="B6" t="s">
        <v>96</v>
      </c>
      <c r="C6" t="s">
        <v>97</v>
      </c>
      <c r="D6">
        <v>1</v>
      </c>
      <c r="E6" t="s">
        <v>98</v>
      </c>
      <c r="F6" t="s">
        <v>99</v>
      </c>
      <c r="G6" t="s">
        <v>100</v>
      </c>
      <c r="H6" t="s">
        <v>48</v>
      </c>
      <c r="I6" t="s">
        <v>53</v>
      </c>
      <c r="J6" t="s">
        <v>101</v>
      </c>
    </row>
    <row r="7" spans="1:11" x14ac:dyDescent="0.25">
      <c r="A7" s="1">
        <v>46228.270508168724</v>
      </c>
      <c r="B7" t="s">
        <v>102</v>
      </c>
      <c r="C7" t="s">
        <v>103</v>
      </c>
      <c r="D7">
        <v>1</v>
      </c>
      <c r="E7" t="s">
        <v>104</v>
      </c>
      <c r="F7" t="s">
        <v>105</v>
      </c>
      <c r="G7" t="s">
        <v>81</v>
      </c>
      <c r="H7" t="s">
        <v>44</v>
      </c>
      <c r="I7" t="s">
        <v>63</v>
      </c>
      <c r="J7" t="s">
        <v>106</v>
      </c>
    </row>
    <row r="8" spans="1:11" x14ac:dyDescent="0.25">
      <c r="A8" s="1">
        <v>46228.726931861383</v>
      </c>
      <c r="B8" t="s">
        <v>107</v>
      </c>
      <c r="C8" t="s">
        <v>108</v>
      </c>
      <c r="D8">
        <v>1</v>
      </c>
      <c r="E8" t="s">
        <v>108</v>
      </c>
      <c r="F8" t="s">
        <v>109</v>
      </c>
      <c r="G8" t="s">
        <v>81</v>
      </c>
      <c r="H8" t="s">
        <v>33</v>
      </c>
      <c r="I8" t="s">
        <v>53</v>
      </c>
      <c r="J8" t="s">
        <v>110</v>
      </c>
    </row>
    <row r="9" spans="1:11" x14ac:dyDescent="0.25">
      <c r="A9" s="1">
        <v>46228.918906888168</v>
      </c>
      <c r="B9" t="s">
        <v>111</v>
      </c>
      <c r="C9" t="s">
        <v>112</v>
      </c>
      <c r="D9">
        <v>1</v>
      </c>
      <c r="E9" t="s">
        <v>113</v>
      </c>
      <c r="F9" t="s">
        <v>114</v>
      </c>
      <c r="G9" t="s">
        <v>81</v>
      </c>
      <c r="H9" t="s">
        <v>50</v>
      </c>
      <c r="I9" t="s">
        <v>61</v>
      </c>
      <c r="J9" t="s">
        <v>115</v>
      </c>
    </row>
    <row r="10" spans="1:11" x14ac:dyDescent="0.25">
      <c r="A10" s="1">
        <v>46229.021885512433</v>
      </c>
      <c r="B10" t="s">
        <v>116</v>
      </c>
      <c r="C10" t="s">
        <v>117</v>
      </c>
      <c r="D10">
        <v>1</v>
      </c>
      <c r="E10" t="s">
        <v>118</v>
      </c>
      <c r="F10" t="s">
        <v>119</v>
      </c>
      <c r="G10" t="s">
        <v>81</v>
      </c>
      <c r="H10" t="s">
        <v>35</v>
      </c>
      <c r="I10" t="s">
        <v>53</v>
      </c>
      <c r="J10" t="s">
        <v>120</v>
      </c>
    </row>
    <row r="11" spans="1:11" x14ac:dyDescent="0.25">
      <c r="A11" s="1">
        <v>46229.39097966726</v>
      </c>
      <c r="B11" t="s">
        <v>121</v>
      </c>
      <c r="C11" t="s">
        <v>122</v>
      </c>
      <c r="D11">
        <v>1</v>
      </c>
      <c r="E11" t="s">
        <v>123</v>
      </c>
      <c r="F11" t="s">
        <v>124</v>
      </c>
      <c r="G11" t="s">
        <v>81</v>
      </c>
      <c r="H11" t="s">
        <v>37</v>
      </c>
      <c r="I11" t="s">
        <v>53</v>
      </c>
      <c r="J11" t="s">
        <v>125</v>
      </c>
    </row>
    <row r="12" spans="1:11" x14ac:dyDescent="0.25">
      <c r="A12" s="1">
        <v>46231.020543872743</v>
      </c>
      <c r="B12" t="s">
        <v>126</v>
      </c>
      <c r="C12" t="s">
        <v>127</v>
      </c>
      <c r="D12">
        <v>1</v>
      </c>
      <c r="E12" t="s">
        <v>127</v>
      </c>
      <c r="F12" t="s">
        <v>128</v>
      </c>
      <c r="G12" t="s">
        <v>129</v>
      </c>
      <c r="H12" t="s">
        <v>28</v>
      </c>
      <c r="I12" t="s">
        <v>60</v>
      </c>
      <c r="J12" t="s">
        <v>130</v>
      </c>
    </row>
    <row r="13" spans="1:11" x14ac:dyDescent="0.25">
      <c r="A13" s="1">
        <v>46231.879394818781</v>
      </c>
      <c r="B13" t="s">
        <v>131</v>
      </c>
      <c r="C13" t="s">
        <v>132</v>
      </c>
      <c r="D13">
        <v>1</v>
      </c>
      <c r="E13" t="s">
        <v>133</v>
      </c>
      <c r="F13" t="s">
        <v>134</v>
      </c>
      <c r="G13" t="s">
        <v>81</v>
      </c>
      <c r="H13" t="s">
        <v>30</v>
      </c>
      <c r="I13" t="s">
        <v>53</v>
      </c>
      <c r="J13" t="s">
        <v>95</v>
      </c>
    </row>
    <row r="14" spans="1:11" x14ac:dyDescent="0.25">
      <c r="A14" s="1">
        <v>46231.89480036345</v>
      </c>
      <c r="B14" t="s">
        <v>135</v>
      </c>
      <c r="C14" t="s">
        <v>136</v>
      </c>
      <c r="D14">
        <v>1</v>
      </c>
      <c r="E14" t="s">
        <v>137</v>
      </c>
      <c r="F14" t="s">
        <v>138</v>
      </c>
      <c r="G14" t="s">
        <v>81</v>
      </c>
      <c r="H14" t="s">
        <v>46</v>
      </c>
      <c r="I14" t="s">
        <v>53</v>
      </c>
      <c r="J14" t="s">
        <v>139</v>
      </c>
    </row>
    <row r="15" spans="1:11" x14ac:dyDescent="0.25">
      <c r="A15" s="1">
        <v>46231.89511630722</v>
      </c>
      <c r="B15" t="s">
        <v>140</v>
      </c>
      <c r="C15" t="s">
        <v>141</v>
      </c>
      <c r="D15">
        <v>1</v>
      </c>
      <c r="E15" t="s">
        <v>142</v>
      </c>
      <c r="F15" t="s">
        <v>143</v>
      </c>
      <c r="G15" t="s">
        <v>81</v>
      </c>
      <c r="H15" t="s">
        <v>34</v>
      </c>
      <c r="I15" t="s">
        <v>59</v>
      </c>
      <c r="J15" t="s">
        <v>144</v>
      </c>
    </row>
    <row r="16" spans="1:11" x14ac:dyDescent="0.25">
      <c r="A16" s="1">
        <v>46231.919737275013</v>
      </c>
      <c r="B16" t="s">
        <v>145</v>
      </c>
      <c r="C16" t="s">
        <v>146</v>
      </c>
      <c r="D16">
        <v>1</v>
      </c>
      <c r="E16" t="s">
        <v>147</v>
      </c>
      <c r="F16" t="s">
        <v>148</v>
      </c>
      <c r="G16" t="s">
        <v>81</v>
      </c>
      <c r="H16" t="s">
        <v>32</v>
      </c>
      <c r="I16" t="s">
        <v>57</v>
      </c>
      <c r="J16" t="s">
        <v>95</v>
      </c>
    </row>
    <row r="17" spans="1:10" x14ac:dyDescent="0.25">
      <c r="A17" s="1">
        <v>46231.923734851473</v>
      </c>
      <c r="B17" t="s">
        <v>149</v>
      </c>
      <c r="C17" t="s">
        <v>150</v>
      </c>
      <c r="D17">
        <v>1</v>
      </c>
      <c r="E17" t="s">
        <v>151</v>
      </c>
      <c r="F17" t="s">
        <v>152</v>
      </c>
      <c r="G17" t="s">
        <v>81</v>
      </c>
      <c r="H17" t="s">
        <v>31</v>
      </c>
      <c r="I17" t="s">
        <v>56</v>
      </c>
      <c r="J17" t="s">
        <v>153</v>
      </c>
    </row>
    <row r="18" spans="1:10" x14ac:dyDescent="0.25">
      <c r="A18" s="1">
        <v>46231.927730824667</v>
      </c>
      <c r="B18" t="s">
        <v>154</v>
      </c>
      <c r="C18" t="s">
        <v>155</v>
      </c>
      <c r="D18">
        <v>1</v>
      </c>
      <c r="E18" t="s">
        <v>155</v>
      </c>
      <c r="F18" t="s">
        <v>156</v>
      </c>
      <c r="G18" t="s">
        <v>81</v>
      </c>
      <c r="H18" t="s">
        <v>43</v>
      </c>
      <c r="I18" t="s">
        <v>53</v>
      </c>
      <c r="J18" t="s">
        <v>157</v>
      </c>
    </row>
    <row r="19" spans="1:10" x14ac:dyDescent="0.25">
      <c r="A19" s="1">
        <v>46231.98147417634</v>
      </c>
      <c r="B19" t="s">
        <v>158</v>
      </c>
      <c r="C19" t="s">
        <v>159</v>
      </c>
      <c r="D19">
        <v>1</v>
      </c>
      <c r="E19" t="s">
        <v>160</v>
      </c>
      <c r="F19" t="s">
        <v>161</v>
      </c>
      <c r="G19" t="s">
        <v>81</v>
      </c>
      <c r="H19" t="s">
        <v>41</v>
      </c>
      <c r="I19" t="s">
        <v>53</v>
      </c>
      <c r="J19" t="s">
        <v>162</v>
      </c>
    </row>
    <row r="20" spans="1:10" x14ac:dyDescent="0.25">
      <c r="A20" s="1">
        <v>46232.012433761447</v>
      </c>
      <c r="B20" t="s">
        <v>163</v>
      </c>
      <c r="C20" t="s">
        <v>164</v>
      </c>
      <c r="D20">
        <v>1</v>
      </c>
      <c r="E20" t="s">
        <v>164</v>
      </c>
      <c r="F20" t="s">
        <v>165</v>
      </c>
      <c r="G20" t="s">
        <v>81</v>
      </c>
      <c r="H20" t="s">
        <v>40</v>
      </c>
      <c r="I20" t="s">
        <v>53</v>
      </c>
      <c r="J20" t="s">
        <v>166</v>
      </c>
    </row>
    <row r="21" spans="1:10" x14ac:dyDescent="0.25">
      <c r="A21" s="1">
        <v>46232.026507921189</v>
      </c>
      <c r="B21" t="s">
        <v>167</v>
      </c>
      <c r="C21" t="s">
        <v>168</v>
      </c>
      <c r="D21">
        <v>1</v>
      </c>
      <c r="E21" t="s">
        <v>168</v>
      </c>
      <c r="F21" t="s">
        <v>169</v>
      </c>
      <c r="G21" t="s">
        <v>81</v>
      </c>
      <c r="H21" t="s">
        <v>45</v>
      </c>
      <c r="I21" t="s">
        <v>58</v>
      </c>
      <c r="J21" t="s">
        <v>170</v>
      </c>
    </row>
    <row r="22" spans="1:10" x14ac:dyDescent="0.25">
      <c r="A22" s="1">
        <v>46232.182247949677</v>
      </c>
      <c r="B22" t="s">
        <v>171</v>
      </c>
      <c r="C22" t="s">
        <v>172</v>
      </c>
      <c r="D22">
        <v>1</v>
      </c>
      <c r="E22" t="s">
        <v>172</v>
      </c>
      <c r="F22" t="s">
        <v>173</v>
      </c>
      <c r="G22" t="s">
        <v>81</v>
      </c>
      <c r="H22" t="s">
        <v>39</v>
      </c>
      <c r="I22" t="s">
        <v>64</v>
      </c>
      <c r="J22" t="s">
        <v>174</v>
      </c>
    </row>
    <row r="23" spans="1:10" x14ac:dyDescent="0.25">
      <c r="A23" s="1">
        <v>46232.355357100867</v>
      </c>
      <c r="B23" t="s">
        <v>175</v>
      </c>
      <c r="C23" t="s">
        <v>176</v>
      </c>
      <c r="D23">
        <v>1</v>
      </c>
      <c r="E23" t="s">
        <v>177</v>
      </c>
      <c r="F23" t="s">
        <v>178</v>
      </c>
      <c r="G23" t="s">
        <v>81</v>
      </c>
      <c r="H23" t="s">
        <v>47</v>
      </c>
      <c r="I23" t="s">
        <v>53</v>
      </c>
      <c r="J23" t="s">
        <v>179</v>
      </c>
    </row>
    <row r="24" spans="1:10" x14ac:dyDescent="0.25">
      <c r="C24" t="s">
        <v>180</v>
      </c>
      <c r="D24">
        <v>1</v>
      </c>
      <c r="E24" t="s">
        <v>180</v>
      </c>
      <c r="F24" t="s">
        <v>181</v>
      </c>
      <c r="G24" t="s">
        <v>81</v>
      </c>
      <c r="H24">
        <v>339212836</v>
      </c>
      <c r="I24">
        <v>0</v>
      </c>
    </row>
  </sheetData>
  <phoneticPr fontId="1" type="noConversion"/>
  <pageMargins left="0.75" right="0.75" top="1" bottom="1" header="0.5" footer="0.5"/>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F9787F4-2FF6-43FE-8E72-B92E5C801FF4}">
  <dimension ref="A1:G55"/>
  <sheetViews>
    <sheetView tabSelected="1" topLeftCell="A4" workbookViewId="0">
      <selection activeCell="A36" sqref="A36"/>
    </sheetView>
  </sheetViews>
  <sheetFormatPr defaultRowHeight="15" x14ac:dyDescent="0.25"/>
  <cols>
    <col min="2" max="2" width="24.5703125" customWidth="1"/>
    <col min="3" max="3" width="49" customWidth="1"/>
    <col min="4" max="4" width="31" customWidth="1"/>
    <col min="5" max="5" width="22.7109375" customWidth="1"/>
    <col min="6" max="6" width="11" bestFit="1" customWidth="1"/>
    <col min="7" max="7" width="12" bestFit="1" customWidth="1"/>
  </cols>
  <sheetData>
    <row r="1" spans="2:7" x14ac:dyDescent="0.25">
      <c r="B1" t="s">
        <v>76</v>
      </c>
      <c r="C1" t="s">
        <v>11</v>
      </c>
      <c r="D1" t="s">
        <v>27</v>
      </c>
      <c r="E1" t="s">
        <v>182</v>
      </c>
      <c r="F1" t="s">
        <v>185</v>
      </c>
      <c r="G1" t="s">
        <v>215</v>
      </c>
    </row>
    <row r="2" spans="2:7" x14ac:dyDescent="0.25">
      <c r="B2" s="4" t="s">
        <v>113</v>
      </c>
      <c r="C2">
        <v>9.9600000000000009</v>
      </c>
      <c r="D2" s="2" t="s">
        <v>50</v>
      </c>
      <c r="E2">
        <v>14827331</v>
      </c>
      <c r="F2">
        <f>(C2*1000000)/E2</f>
        <v>0.6717324918422608</v>
      </c>
      <c r="G2">
        <f>(SUM(F2:F24)/23)</f>
        <v>0.40453268278145144</v>
      </c>
    </row>
    <row r="3" spans="2:7" x14ac:dyDescent="0.25">
      <c r="B3" s="4" t="s">
        <v>79</v>
      </c>
      <c r="C3">
        <v>9.1199999999999992</v>
      </c>
      <c r="D3" s="2" t="s">
        <v>49</v>
      </c>
      <c r="E3">
        <v>13369284</v>
      </c>
      <c r="F3">
        <f>(C3*1000000)/E3</f>
        <v>0.68216069013119929</v>
      </c>
      <c r="G3">
        <v>0.73337232092693083</v>
      </c>
    </row>
    <row r="4" spans="2:7" x14ac:dyDescent="0.25">
      <c r="B4" s="4" t="s">
        <v>98</v>
      </c>
      <c r="C4">
        <v>8.09</v>
      </c>
      <c r="D4" s="2" t="s">
        <v>48</v>
      </c>
      <c r="E4">
        <v>12618368</v>
      </c>
      <c r="F4">
        <f>(C4*1000000)/E4</f>
        <v>0.64112886864608798</v>
      </c>
    </row>
    <row r="5" spans="2:7" x14ac:dyDescent="0.25">
      <c r="B5" s="4" t="s">
        <v>186</v>
      </c>
      <c r="C5" s="3">
        <f>(E5*$G$3)/1000000</f>
        <v>6.6698159145805764</v>
      </c>
      <c r="E5">
        <v>9094720</v>
      </c>
    </row>
    <row r="6" spans="2:7" x14ac:dyDescent="0.25">
      <c r="B6" s="4" t="s">
        <v>177</v>
      </c>
      <c r="C6">
        <v>6.62</v>
      </c>
      <c r="D6" s="2" t="s">
        <v>47</v>
      </c>
      <c r="E6">
        <v>9227816</v>
      </c>
      <c r="F6">
        <f>(C6*1000000)/E6</f>
        <v>0.71739618561965257</v>
      </c>
    </row>
    <row r="7" spans="2:7" x14ac:dyDescent="0.25">
      <c r="B7" s="4" t="s">
        <v>189</v>
      </c>
      <c r="C7" s="3">
        <f>(E7*$G$3)/1000000</f>
        <v>6.5283373932889575</v>
      </c>
      <c r="E7">
        <v>8901805</v>
      </c>
    </row>
    <row r="8" spans="2:7" x14ac:dyDescent="0.25">
      <c r="B8" s="4" t="s">
        <v>123</v>
      </c>
      <c r="C8">
        <v>5.84</v>
      </c>
      <c r="D8" s="2" t="s">
        <v>37</v>
      </c>
      <c r="E8">
        <v>7788872</v>
      </c>
      <c r="F8">
        <f>(C8*1000000)/E8</f>
        <v>0.74978764575923185</v>
      </c>
    </row>
    <row r="9" spans="2:7" x14ac:dyDescent="0.25">
      <c r="B9" s="4" t="s">
        <v>187</v>
      </c>
      <c r="C9" s="3">
        <f>(E9*$G$3)/1000000</f>
        <v>5.7347134025916331</v>
      </c>
      <c r="E9">
        <v>7819648</v>
      </c>
    </row>
    <row r="10" spans="2:7" x14ac:dyDescent="0.25">
      <c r="B10" s="4" t="s">
        <v>104</v>
      </c>
      <c r="C10">
        <v>5.72</v>
      </c>
      <c r="D10" s="2" t="s">
        <v>44</v>
      </c>
      <c r="E10">
        <v>8417565</v>
      </c>
      <c r="F10">
        <f>(C10*1000000)/E10</f>
        <v>0.67953143218971279</v>
      </c>
    </row>
    <row r="11" spans="2:7" x14ac:dyDescent="0.25">
      <c r="B11" s="4" t="s">
        <v>160</v>
      </c>
      <c r="C11">
        <v>5.68</v>
      </c>
      <c r="D11" s="2" t="s">
        <v>41</v>
      </c>
      <c r="E11">
        <v>7984829</v>
      </c>
      <c r="F11">
        <f>(C11*1000000)/E11</f>
        <v>0.71134898443034911</v>
      </c>
    </row>
    <row r="12" spans="2:7" x14ac:dyDescent="0.25">
      <c r="B12" s="4" t="s">
        <v>190</v>
      </c>
      <c r="C12" s="3">
        <f>(E12*$G$3)/1000000</f>
        <v>5.6072063573859934</v>
      </c>
      <c r="E12">
        <v>7645784</v>
      </c>
    </row>
    <row r="13" spans="2:7" x14ac:dyDescent="0.25">
      <c r="B13" s="4" t="s">
        <v>137</v>
      </c>
      <c r="C13">
        <v>5.52</v>
      </c>
      <c r="D13" s="2" t="s">
        <v>46</v>
      </c>
      <c r="E13">
        <v>7072034</v>
      </c>
      <c r="F13">
        <f>(C13*1000000)/E13</f>
        <v>0.78053923383286905</v>
      </c>
    </row>
    <row r="14" spans="2:7" x14ac:dyDescent="0.25">
      <c r="B14" s="4" t="s">
        <v>155</v>
      </c>
      <c r="C14">
        <v>5.32</v>
      </c>
      <c r="D14" s="2" t="s">
        <v>43</v>
      </c>
      <c r="E14">
        <v>7645784</v>
      </c>
      <c r="F14">
        <f>(C14*1000000)/E14</f>
        <v>0.6958083042890042</v>
      </c>
    </row>
    <row r="15" spans="2:7" x14ac:dyDescent="0.25">
      <c r="B15" s="4" t="s">
        <v>180</v>
      </c>
      <c r="C15">
        <v>5.0999999999999996</v>
      </c>
      <c r="D15" s="2">
        <v>339212836</v>
      </c>
      <c r="E15">
        <v>6940857</v>
      </c>
      <c r="F15">
        <f>(C15*1000000)/E15</f>
        <v>0.7347795812534389</v>
      </c>
    </row>
    <row r="16" spans="2:7" x14ac:dyDescent="0.25">
      <c r="B16" s="4" t="s">
        <v>168</v>
      </c>
      <c r="C16">
        <v>4.92</v>
      </c>
      <c r="D16" s="2" t="s">
        <v>45</v>
      </c>
      <c r="E16">
        <v>6992175</v>
      </c>
      <c r="F16">
        <f>(C16*1000000)/E16</f>
        <v>0.70364371601111242</v>
      </c>
    </row>
    <row r="17" spans="1:6" x14ac:dyDescent="0.25">
      <c r="B17" s="4" t="s">
        <v>191</v>
      </c>
      <c r="C17" s="3">
        <f>(E17*$G$3)/1000000</f>
        <v>4.8426187769911282</v>
      </c>
      <c r="E17">
        <v>6603220</v>
      </c>
    </row>
    <row r="18" spans="1:6" x14ac:dyDescent="0.25">
      <c r="B18" s="4" t="s">
        <v>188</v>
      </c>
      <c r="C18" s="3">
        <f>(E18*$G$3)/1000000</f>
        <v>4.8016863342709124</v>
      </c>
      <c r="E18">
        <v>6547406</v>
      </c>
    </row>
    <row r="19" spans="1:6" x14ac:dyDescent="0.25">
      <c r="B19" s="4" t="s">
        <v>192</v>
      </c>
      <c r="C19" s="3">
        <f>(E19*$G$3)/1000000</f>
        <v>4.7929665373750918</v>
      </c>
      <c r="E19">
        <v>6535516</v>
      </c>
    </row>
    <row r="20" spans="1:6" x14ac:dyDescent="0.25">
      <c r="B20" s="4" t="s">
        <v>118</v>
      </c>
      <c r="C20">
        <v>4.75</v>
      </c>
      <c r="D20" s="2" t="s">
        <v>35</v>
      </c>
      <c r="E20">
        <v>6278769</v>
      </c>
      <c r="F20">
        <f>(C20*1000000)/E20</f>
        <v>0.75651771868020623</v>
      </c>
    </row>
    <row r="21" spans="1:6" x14ac:dyDescent="0.25">
      <c r="B21" s="6" t="s">
        <v>193</v>
      </c>
      <c r="C21" s="3">
        <f>(E21*$G$3)/1000000</f>
        <v>4.7243940252514607</v>
      </c>
      <c r="E21">
        <v>6442013</v>
      </c>
    </row>
    <row r="22" spans="1:6" x14ac:dyDescent="0.25">
      <c r="B22" s="4" t="s">
        <v>194</v>
      </c>
      <c r="C22" s="3">
        <f>(E22*$G$3)/1000000</f>
        <v>4.7089653383637993</v>
      </c>
      <c r="E22">
        <v>6420975</v>
      </c>
    </row>
    <row r="23" spans="1:6" x14ac:dyDescent="0.25">
      <c r="B23" s="4" t="s">
        <v>195</v>
      </c>
      <c r="C23" s="3">
        <f>(E23*$G$3)/1000000</f>
        <v>4.614884670173689</v>
      </c>
      <c r="E23">
        <v>6292690</v>
      </c>
    </row>
    <row r="24" spans="1:6" x14ac:dyDescent="0.25">
      <c r="B24" s="4" t="s">
        <v>164</v>
      </c>
      <c r="C24">
        <v>4.5599999999999996</v>
      </c>
      <c r="D24" s="2" t="s">
        <v>40</v>
      </c>
      <c r="E24">
        <v>5847077</v>
      </c>
      <c r="F24">
        <f>(C24*1000000)/E24</f>
        <v>0.77987685128825912</v>
      </c>
    </row>
    <row r="25" spans="1:6" x14ac:dyDescent="0.25">
      <c r="A25" t="s">
        <v>216</v>
      </c>
      <c r="B25" s="4" t="s">
        <v>196</v>
      </c>
      <c r="C25" s="3">
        <f>(E25*$G$3)/1000000</f>
        <v>4.5482988636674486</v>
      </c>
      <c r="E25">
        <v>6201896</v>
      </c>
    </row>
    <row r="26" spans="1:6" x14ac:dyDescent="0.25">
      <c r="B26" s="4" t="s">
        <v>197</v>
      </c>
      <c r="C26" s="3">
        <f>(E26*$G$3)/1000000</f>
        <v>4.5421664043198575</v>
      </c>
      <c r="E26">
        <v>6193534</v>
      </c>
    </row>
    <row r="27" spans="1:6" x14ac:dyDescent="0.25">
      <c r="B27" s="4" t="s">
        <v>198</v>
      </c>
      <c r="C27" s="3">
        <f>(E27*$G$3)/1000000</f>
        <v>4.4317285998837921</v>
      </c>
      <c r="E27">
        <v>6042945</v>
      </c>
    </row>
    <row r="28" spans="1:6" x14ac:dyDescent="0.25">
      <c r="B28" s="4" t="s">
        <v>199</v>
      </c>
      <c r="C28" s="3">
        <f>(E28*$G$3)/1000000</f>
        <v>4.4019426830693442</v>
      </c>
      <c r="E28">
        <v>6002330</v>
      </c>
    </row>
    <row r="29" spans="1:6" x14ac:dyDescent="0.25">
      <c r="B29" s="4" t="s">
        <v>93</v>
      </c>
      <c r="C29">
        <v>4.4000000000000004</v>
      </c>
      <c r="D29" s="2" t="s">
        <v>36</v>
      </c>
      <c r="E29">
        <v>5890384</v>
      </c>
      <c r="F29">
        <f>(C29*1000000)/E29</f>
        <v>0.74698016292316427</v>
      </c>
    </row>
    <row r="30" spans="1:6" x14ac:dyDescent="0.25">
      <c r="B30" s="4" t="s">
        <v>183</v>
      </c>
      <c r="C30" s="3">
        <f>(E30*$G$3)/1000000</f>
        <v>4.3016994872664842</v>
      </c>
      <c r="E30">
        <v>5865642</v>
      </c>
    </row>
    <row r="31" spans="1:6" x14ac:dyDescent="0.25">
      <c r="B31" s="4" t="s">
        <v>200</v>
      </c>
      <c r="C31" s="3">
        <f>(E31*$G$3)/1000000</f>
        <v>4.2251156159090471</v>
      </c>
      <c r="E31">
        <v>5761215</v>
      </c>
    </row>
    <row r="32" spans="1:6" x14ac:dyDescent="0.25">
      <c r="B32" s="4" t="s">
        <v>84</v>
      </c>
      <c r="C32">
        <v>4.21</v>
      </c>
      <c r="D32" s="2" t="s">
        <v>42</v>
      </c>
      <c r="E32">
        <v>5654465</v>
      </c>
      <c r="F32">
        <f>(C32*1000000)/E32</f>
        <v>0.74454435565522115</v>
      </c>
    </row>
    <row r="33" spans="1:6" x14ac:dyDescent="0.25">
      <c r="B33" s="5" t="s">
        <v>108</v>
      </c>
      <c r="C33">
        <v>4.21</v>
      </c>
      <c r="D33" s="2" t="s">
        <v>33</v>
      </c>
      <c r="E33">
        <v>5610901</v>
      </c>
      <c r="F33">
        <f>(C33*1000000)/E33</f>
        <v>0.75032512603590762</v>
      </c>
    </row>
    <row r="34" spans="1:6" x14ac:dyDescent="0.25">
      <c r="A34" t="s">
        <v>216</v>
      </c>
      <c r="B34" s="5" t="s">
        <v>201</v>
      </c>
      <c r="C34" s="3">
        <f>(E34*$G$3)/1000000</f>
        <v>4.1258492720376623</v>
      </c>
      <c r="E34">
        <v>5625859</v>
      </c>
    </row>
    <row r="35" spans="1:6" x14ac:dyDescent="0.25">
      <c r="B35" s="5" t="s">
        <v>202</v>
      </c>
      <c r="C35" s="3">
        <f>(E35*$G$3)/1000000</f>
        <v>4.0043778810332507</v>
      </c>
      <c r="E35">
        <v>5460225</v>
      </c>
    </row>
    <row r="36" spans="1:6" x14ac:dyDescent="0.25">
      <c r="B36" s="5" t="s">
        <v>88</v>
      </c>
      <c r="C36">
        <v>3.86</v>
      </c>
      <c r="D36" s="2" t="s">
        <v>38</v>
      </c>
      <c r="E36">
        <v>5429215</v>
      </c>
      <c r="F36">
        <f>(C36*1000000)/E36</f>
        <v>0.71096834441074819</v>
      </c>
    </row>
    <row r="37" spans="1:6" x14ac:dyDescent="0.25">
      <c r="B37" s="5" t="s">
        <v>203</v>
      </c>
      <c r="C37" s="3">
        <f>(E37*$G$3)/1000000</f>
        <v>3.8138257508868061</v>
      </c>
      <c r="E37">
        <v>5200395</v>
      </c>
    </row>
    <row r="38" spans="1:6" x14ac:dyDescent="0.25">
      <c r="B38" s="5" t="s">
        <v>204</v>
      </c>
      <c r="C38" s="3">
        <f>(E38*$G$3)/1000000</f>
        <v>3.7964917627093775</v>
      </c>
      <c r="E38">
        <v>5176759</v>
      </c>
    </row>
    <row r="39" spans="1:6" x14ac:dyDescent="0.25">
      <c r="B39" s="5" t="s">
        <v>205</v>
      </c>
      <c r="C39" s="3">
        <f>(E39*$G$3)/1000000</f>
        <v>3.7404005141156023</v>
      </c>
      <c r="E39">
        <v>5100275</v>
      </c>
    </row>
    <row r="40" spans="1:6" x14ac:dyDescent="0.25">
      <c r="B40" s="5" t="s">
        <v>172</v>
      </c>
      <c r="C40">
        <v>3.74</v>
      </c>
      <c r="D40" s="2" t="s">
        <v>39</v>
      </c>
      <c r="E40">
        <v>4885125</v>
      </c>
      <c r="F40">
        <f>(C40*1000000)/E40</f>
        <v>0.76558941685217885</v>
      </c>
    </row>
    <row r="41" spans="1:6" x14ac:dyDescent="0.25">
      <c r="B41" s="5" t="s">
        <v>147</v>
      </c>
      <c r="C41">
        <v>3.65</v>
      </c>
      <c r="D41" s="2" t="s">
        <v>32</v>
      </c>
      <c r="E41">
        <v>4782975</v>
      </c>
      <c r="F41">
        <f>(C41*1000000)/E41</f>
        <v>0.7631233698691714</v>
      </c>
    </row>
    <row r="42" spans="1:6" x14ac:dyDescent="0.25">
      <c r="B42" s="5" t="s">
        <v>206</v>
      </c>
      <c r="C42" s="3">
        <f>(E42*$G$3)/1000000</f>
        <v>3.6499295044890929</v>
      </c>
      <c r="E42">
        <v>4976912</v>
      </c>
    </row>
    <row r="43" spans="1:6" x14ac:dyDescent="0.25">
      <c r="B43" s="5" t="s">
        <v>207</v>
      </c>
      <c r="C43" s="3">
        <f>(E43*$G$3)/1000000</f>
        <v>3.6139172566699762</v>
      </c>
      <c r="E43">
        <v>4927807</v>
      </c>
    </row>
    <row r="44" spans="1:6" x14ac:dyDescent="0.25">
      <c r="B44" s="5" t="s">
        <v>208</v>
      </c>
      <c r="C44" s="3">
        <f>(E44*$G$3)/1000000</f>
        <v>3.521551946338513</v>
      </c>
      <c r="E44">
        <v>4801861</v>
      </c>
    </row>
    <row r="45" spans="1:6" x14ac:dyDescent="0.25">
      <c r="B45" s="6" t="s">
        <v>142</v>
      </c>
      <c r="C45">
        <v>3.5</v>
      </c>
      <c r="D45" s="2" t="s">
        <v>34</v>
      </c>
      <c r="E45">
        <v>4700964</v>
      </c>
      <c r="F45">
        <f>(C45*1000000)/E45</f>
        <v>0.74452814358927233</v>
      </c>
    </row>
    <row r="46" spans="1:6" x14ac:dyDescent="0.25">
      <c r="A46" t="s">
        <v>216</v>
      </c>
      <c r="B46" s="6" t="s">
        <v>209</v>
      </c>
      <c r="C46" s="3">
        <f>(E46*$G$3)/1000000</f>
        <v>3.4421401913115819</v>
      </c>
      <c r="E46">
        <v>4693578</v>
      </c>
    </row>
    <row r="47" spans="1:6" x14ac:dyDescent="0.25">
      <c r="B47" s="6" t="s">
        <v>184</v>
      </c>
      <c r="C47" s="3">
        <f>(E47*$G$3)/1000000</f>
        <v>3.4313244163225516</v>
      </c>
      <c r="E47">
        <v>4678830</v>
      </c>
    </row>
    <row r="48" spans="1:6" x14ac:dyDescent="0.25">
      <c r="B48" s="6" t="s">
        <v>210</v>
      </c>
      <c r="C48" s="3">
        <f>(E48*$G$3)/1000000</f>
        <v>3.1756876928108051</v>
      </c>
      <c r="E48">
        <v>4330253</v>
      </c>
    </row>
    <row r="49" spans="2:6" x14ac:dyDescent="0.25">
      <c r="B49" s="6" t="s">
        <v>211</v>
      </c>
      <c r="C49" s="3">
        <f>(E49*$G$3)/1000000</f>
        <v>2.679152095948659</v>
      </c>
      <c r="E49">
        <v>3653195</v>
      </c>
    </row>
    <row r="50" spans="2:6" x14ac:dyDescent="0.25">
      <c r="B50" s="6" t="s">
        <v>151</v>
      </c>
      <c r="C50">
        <v>2.6</v>
      </c>
      <c r="D50" s="2" t="s">
        <v>31</v>
      </c>
      <c r="E50">
        <v>3162943</v>
      </c>
      <c r="F50">
        <f>(C50*1000000)/E50</f>
        <v>0.82201923967646584</v>
      </c>
    </row>
    <row r="51" spans="2:6" x14ac:dyDescent="0.25">
      <c r="B51" s="6" t="s">
        <v>212</v>
      </c>
      <c r="C51" s="3">
        <f>(E51*$G$3)/1000000</f>
        <v>2.2790058233429025</v>
      </c>
      <c r="E51">
        <v>3107570</v>
      </c>
    </row>
    <row r="52" spans="2:6" x14ac:dyDescent="0.25">
      <c r="B52" s="6" t="s">
        <v>127</v>
      </c>
      <c r="C52">
        <v>2.0299999999999998</v>
      </c>
      <c r="D52" s="2" t="s">
        <v>28</v>
      </c>
      <c r="E52">
        <v>2549059</v>
      </c>
      <c r="F52">
        <f>(C52*1000000)/E52</f>
        <v>0.79637230836948059</v>
      </c>
    </row>
    <row r="53" spans="2:6" x14ac:dyDescent="0.25">
      <c r="B53" s="6" t="s">
        <v>133</v>
      </c>
      <c r="C53">
        <v>2.02</v>
      </c>
      <c r="D53" s="2" t="s">
        <v>30</v>
      </c>
      <c r="E53">
        <v>2810000</v>
      </c>
      <c r="F53">
        <f>(C53*1000000)/E53</f>
        <v>0.71886120996441283</v>
      </c>
    </row>
    <row r="54" spans="2:6" x14ac:dyDescent="0.25">
      <c r="B54" s="6" t="s">
        <v>213</v>
      </c>
      <c r="C54" s="3">
        <f>(E54*$G$3)/1000000</f>
        <v>1.9754798872746271</v>
      </c>
      <c r="E54">
        <v>2693693</v>
      </c>
    </row>
    <row r="55" spans="2:6" x14ac:dyDescent="0.25">
      <c r="B55" s="6" t="s">
        <v>214</v>
      </c>
      <c r="C55" s="3">
        <f>(E55*$G$3)/1000000</f>
        <v>1.2709995023029337</v>
      </c>
      <c r="E55">
        <v>1733089</v>
      </c>
    </row>
  </sheetData>
  <pageMargins left="0.7" right="0.7" top="0.75" bottom="0.75" header="0.3" footer="0.3"/>
  <tableParts count="1">
    <tablePart r:id="rId1"/>
  </tableParts>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2" baseType="variant">
      <vt:variant>
        <vt:lpstr>Worksheets</vt:lpstr>
      </vt:variant>
      <vt:variant>
        <vt:i4>4</vt:i4>
      </vt:variant>
    </vt:vector>
  </HeadingPairs>
  <TitlesOfParts>
    <vt:vector size="4" baseType="lpstr">
      <vt:lpstr>Info</vt:lpstr>
      <vt:lpstr>Summary </vt:lpstr>
      <vt:lpstr>Responses</vt: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Tom Merry</cp:lastModifiedBy>
  <dcterms:created xsi:type="dcterms:W3CDTF">2026-07-29T02:31:57Z</dcterms:created>
  <dcterms:modified xsi:type="dcterms:W3CDTF">2026-07-29T14:20:51Z</dcterms:modified>
</cp:coreProperties>
</file>